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70e75ddfb42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nt Roll" sheetId="1" r:id="R607b5f954c2f4c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$0.00"/>
    <x:numFmt numFmtId="202" formatCode="$#,##0"/>
    <x:numFmt numFmtId="203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68503593d423c" /><Relationship Type="http://schemas.openxmlformats.org/officeDocument/2006/relationships/theme" Target="/xl/theme/theme1.xml" Id="R6879be3218a845e4" /><Relationship Type="http://schemas.openxmlformats.org/officeDocument/2006/relationships/sharedStrings" Target="/xl/sharedStrings.xml" Id="R1a3b49a0d83a4866" /><Relationship Type="http://schemas.openxmlformats.org/officeDocument/2006/relationships/worksheet" Target="/xl/worksheets/sheet1.xml" Id="R607b5f954c2f4cce" /></Relationships>
</file>

<file path=xl/tables/table1.xml><?xml version="1.0" encoding="utf-8"?>
<x:table xmlns:x="http://schemas.openxmlformats.org/spreadsheetml/2006/main" id="1" name="SummitPointRentRoll" displayName="SummitPointRentRoll" ref="A1:J6" headerRowCount="1">
  <x:tableColumns count="10">
    <x:tableColumn id="1" name="Component"/>
    <x:tableColumn id="2" name="Tenant"/>
    <x:tableColumn id="3" name="Rentable SF"/>
    <x:tableColumn id="4" name="Unit Count"/>
    <x:tableColumn id="5" name="Market Rent"/>
    <x:tableColumn id="6" name="Rent Basis"/>
    <x:tableColumn id="7" name="Occupancy"/>
    <x:tableColumn id="8" name="Annual GPR"/>
    <x:tableColumn id="9" name="Annual EGI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28431179804131" /></Relationships>
</file>

<file path=xl/worksheets/sheet1.xml><?xml version="1.0" encoding="utf-8"?>
<x:worksheet xmlns:x="http://schemas.openxmlformats.org/spreadsheetml/2006/main">
  <x:sheetFormatPr defaultRowHeight="15"/>
  <x:cols>
    <x:col min="1" max="1" width="12.130000114440918" hidden="0" customWidth="1"/>
    <x:col min="2" max="2" width="24.1299991607666" hidden="0" customWidth="1"/>
    <x:col min="3" max="3" width="9.5" hidden="0" customWidth="1"/>
    <x:col min="4" max="4" width="8.75" hidden="0" customWidth="1"/>
    <x:col min="5" max="5" width="10" hidden="0" customWidth="1"/>
    <x:col min="6" max="6" width="8.380000114440918" hidden="0" customWidth="1"/>
    <x:col min="7" max="7" width="8.880000114440918" hidden="0" customWidth="1"/>
    <x:col min="8" max="8" width="9.880000114440918" hidden="0" customWidth="1"/>
    <x:col min="9" max="9" width="9.880000114440918" hidden="0" customWidth="1"/>
    <x:col min="10" max="10" width="51" hidden="0" customWidth="1"/>
  </x:cols>
  <x:sheetData>
    <x:row r="1">
      <x:c r="A1" s="3" t="str">
        <x:v>Component</x:v>
      </x:c>
      <x:c r="B1" s="3" t="str">
        <x:v>Tenant</x:v>
      </x:c>
      <x:c r="C1" s="3" t="str">
        <x:v>Rentable SF</x:v>
      </x:c>
      <x:c r="D1" s="3" t="str">
        <x:v>Unit Count</x:v>
      </x:c>
      <x:c r="E1" s="3" t="str">
        <x:v>Market Rent</x:v>
      </x:c>
      <x:c r="F1" s="3" t="str">
        <x:v>Rent Basis</x:v>
      </x:c>
      <x:c r="G1" s="3" t="str">
        <x:v>Occupancy</x:v>
      </x:c>
      <x:c r="H1" s="3" t="str">
        <x:v>Annual GPR</x:v>
      </x:c>
      <x:c r="I1" s="3" t="str">
        <x:v>Annual EGI</x:v>
      </x:c>
      <x:c r="J1" s="3" t="str">
        <x:v>Notes</x:v>
      </x:c>
    </x:row>
    <x:row r="2">
      <x:c r="A2" t="str">
        <x:v>Dry Warehouse</x:v>
      </x:c>
      <x:c r="B2" t="str">
        <x:v>Horizon Commerce</x:v>
      </x:c>
      <x:c r="C2" s="6" t="n">
        <x:v>760000</x:v>
      </x:c>
      <x:c r="D2" t="n">
        <x:v>1</x:v>
      </x:c>
      <x:c r="E2" s="8" t="n">
        <x:v>18.5</x:v>
      </x:c>
      <x:c r="F2" t="str">
        <x:v>per_sf</x:v>
      </x:c>
      <x:c r="G2" s="12" t="n">
        <x:v>0.96</x:v>
      </x:c>
      <x:c r="H2" s="10" t="n">
        <x:f>C2*E2</x:f>
        <x:v>14060000</x:v>
      </x:c>
      <x:c r="I2" s="10" t="n">
        <x:f>H2*G2</x:f>
        <x:v>13497600</x:v>
      </x:c>
      <x:c r="J2" t="str">
        <x:v>Termination option after year 6; approx. 64% revenue concentration</x:v>
      </x:c>
    </x:row>
    <x:row r="3">
      <x:c r="A3" t="str">
        <x:v>Cold Storage</x:v>
      </x:c>
      <x:c r="B3" t="str">
        <x:v>NorthLake Foods</x:v>
      </x:c>
      <x:c r="C3" s="6" t="n">
        <x:v>280000</x:v>
      </x:c>
      <x:c r="D3" t="n">
        <x:v>1</x:v>
      </x:c>
      <x:c r="E3" s="8" t="n">
        <x:v>31</x:v>
      </x:c>
      <x:c r="F3" t="str">
        <x:v>per_sf</x:v>
      </x:c>
      <x:c r="G3" s="12" t="n">
        <x:v>0.94</x:v>
      </x:c>
      <x:c r="H3" s="10" t="n">
        <x:f>C3*E3</x:f>
        <x:v>8680000</x:v>
      </x:c>
      <x:c r="I3" s="10" t="n">
        <x:f>H3*G3</x:f>
        <x:v>8159200</x:v>
      </x:c>
      <x:c r="J3" t="str">
        <x:v>Specialized cold storage improvements</x:v>
      </x:c>
    </x:row>
    <x:row r="4">
      <x:c r="A4" t="str">
        <x:v>Last-Mile Flex</x:v>
      </x:c>
      <x:c r="B4" t="str">
        <x:v>Apex Delivery</x:v>
      </x:c>
      <x:c r="C4" s="6" t="n">
        <x:v>200000</x:v>
      </x:c>
      <x:c r="D4" t="n">
        <x:v>1</x:v>
      </x:c>
      <x:c r="E4" s="8" t="n">
        <x:v>23.5</x:v>
      </x:c>
      <x:c r="F4" t="str">
        <x:v>per_sf</x:v>
      </x:c>
      <x:c r="G4" s="12" t="n">
        <x:v>0.92</x:v>
      </x:c>
      <x:c r="H4" s="10" t="n">
        <x:f>C4*E4</x:f>
        <x:v>4700000</x:v>
      </x:c>
      <x:c r="I4" s="10" t="n">
        <x:f>H4*G4</x:f>
        <x:v>4324000</x:v>
      </x:c>
      <x:c r="J4" t="str">
        <x:v>Regional delivery use</x:v>
      </x:c>
    </x:row>
    <x:row r="5">
      <x:c r="A5" t="str">
        <x:v>Other Income</x:v>
      </x:c>
      <x:c r="B5" t="str">
        <x:v>Trailer parking / solar / ancillary</x:v>
      </x:c>
      <x:c r="C5" s="6" t="n">
        <x:v>0</x:v>
      </x:c>
      <x:c r="D5" t="n">
        <x:v>0</x:v>
      </x:c>
      <x:c r="E5" s="10" t="n">
        <x:v>1400000</x:v>
      </x:c>
      <x:c r="F5" t="str">
        <x:v>annual</x:v>
      </x:c>
      <x:c r="G5" s="12" t="n">
        <x:v>1</x:v>
      </x:c>
      <x:c r="H5" s="10" t="n">
        <x:v>1400000</x:v>
      </x:c>
      <x:c r="I5" s="10" t="n">
        <x:v>1400000</x:v>
      </x:c>
      <x:c r="J5" t="str">
        <x:v>Annual other income</x:v>
      </x:c>
    </x:row>
    <x:row r="6">
      <x:c r="A6" t="str">
        <x:v>Total</x:v>
      </x:c>
      <x:c r="B6" t="str"/>
      <x:c r="C6" s="6" t="n">
        <x:v>1240000</x:v>
      </x:c>
      <x:c r="D6" t="str"/>
      <x:c r="E6" t="str"/>
      <x:c r="F6" t="str"/>
      <x:c r="G6" t="str"/>
      <x:c r="H6" s="10" t="n">
        <x:f>SUM(H2:H5)</x:f>
        <x:v>28840000</x:v>
      </x:c>
      <x:c r="I6" s="10" t="n">
        <x:f>SUM(I2:I5)</x:f>
        <x:v>27380800</x:v>
      </x:c>
      <x:c r="J6" t="str"/>
    </x:row>
  </x:sheetData>
  <x:pageMargins left="0.7" right="0.7" top="0.75" bottom="0.75" header="0.3" footer="0.3"/>
  <x:tableParts count="1">
    <x:tablePart xmlns:r="http://schemas.openxmlformats.org/officeDocument/2006/relationships" r:id="Rbd28431179804131"/>
  </x:tableParts>
</x:worksheet>
</file>