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1f063576f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a483544bacc9428c"/>
    <x:sheet xmlns:r="http://schemas.openxmlformats.org/officeDocument/2006/relationships" name="Revenue Check" sheetId="2" r:id="R197b6fbad67a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"/>
    <x:numFmt numFmtId="202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574fcb5bb4caf" /><Relationship Type="http://schemas.openxmlformats.org/officeDocument/2006/relationships/theme" Target="/xl/theme/theme1.xml" Id="R21a21c166ca64175" /><Relationship Type="http://schemas.openxmlformats.org/officeDocument/2006/relationships/sharedStrings" Target="/xl/sharedStrings.xml" Id="R6a0f35793d6c40aa" /><Relationship Type="http://schemas.openxmlformats.org/officeDocument/2006/relationships/worksheet" Target="/xl/worksheets/sheet1.xml" Id="Ra483544bacc9428c" /><Relationship Type="http://schemas.openxmlformats.org/officeDocument/2006/relationships/worksheet" Target="/xl/worksheets/sheet2.xml" Id="R197b6fbad67a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6" hidden="0" customWidth="1"/>
  </x:cols>
  <x:sheetData>
    <x:row r="1">
      <x:c r="A1" s="16" t="str">
        <x:v>Unit Type</x:v>
      </x:c>
      <x:c r="B1" s="16" t="str">
        <x:v>Unit Count</x:v>
      </x:c>
      <x:c r="C1" s="16" t="str">
        <x:v>Avg SF</x:v>
      </x:c>
      <x:c r="D1" s="16" t="str">
        <x:v>Market Rent</x:v>
      </x:c>
      <x:c r="E1" s="16" t="str">
        <x:v>Rent Basis</x:v>
      </x:c>
      <x:c r="F1" s="16" t="str">
        <x:v>Occupancy</x:v>
      </x:c>
      <x:c r="G1" s="16" t="str">
        <x:v>Source Note</x:v>
      </x:c>
    </x:row>
    <x:row r="2">
      <x:c r="A2" t="str">
        <x:v>Residential</x:v>
      </x:c>
      <x:c r="B2" s="10" t="n">
        <x:v>620</x:v>
      </x:c>
      <x:c r="C2" s="10"/>
      <x:c r="D2" s="12" t="n">
        <x:v>3850</x:v>
      </x:c>
      <x:c r="E2" t="str">
        <x:v>per_unit</x:v>
      </x:c>
      <x:c r="F2" s="14" t="n">
        <x:v>0.95</x:v>
      </x:c>
      <x:c r="G2" t="str">
        <x:v>Market Study / rent roll</x:v>
      </x:c>
    </x:row>
    <x:row r="3">
      <x:c r="A3" t="str">
        <x:v>Retail</x:v>
      </x:c>
      <x:c r="B3" s="10" t="n">
        <x:v>1</x:v>
      </x:c>
      <x:c r="C3" s="10" t="n">
        <x:v>36000</x:v>
      </x:c>
      <x:c r="D3" s="12" t="n">
        <x:v>68</x:v>
      </x:c>
      <x:c r="E3" t="str">
        <x:v>per_sf</x:v>
      </x:c>
      <x:c r="F3" s="14" t="n">
        <x:v>0.92</x:v>
      </x:c>
      <x:c r="G3" t="str">
        <x:v>Market Study / rent roll</x:v>
      </x:c>
    </x:row>
    <x:row r="4">
      <x:c r="A4" t="str">
        <x:v>Office</x:v>
      </x:c>
      <x:c r="B4" s="10" t="n">
        <x:v>1</x:v>
      </x:c>
      <x:c r="C4" s="10" t="n">
        <x:v>120000</x:v>
      </x:c>
      <x:c r="D4" s="12" t="n">
        <x:v>55</x:v>
      </x:c>
      <x:c r="E4" t="str">
        <x:v>per_sf</x:v>
      </x:c>
      <x:c r="F4" s="14" t="n">
        <x:v>0.9</x:v>
      </x:c>
      <x:c r="G4" t="str">
        <x:v>Market Study / rent roll</x:v>
      </x:c>
    </x:row>
    <x:row r="5">
      <x:c r="A5" t="str">
        <x:v>Total</x:v>
      </x:c>
      <x:c r="B5" s="10"/>
      <x:c r="C5" s="10"/>
      <x:c r="D5" s="12"/>
      <x:c r="E5"/>
      <x:c r="F5" s="14"/>
      <x:c r="G5" t="str">
        <x:v>Total row intentionally left without numeric rent to avoid parser double count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>
      <x:c r="A1" s="19" t="str">
        <x:v>Metric</x:v>
      </x:c>
      <x:c r="B1" s="19" t="str">
        <x:v>Formula / Value</x:v>
      </x:c>
    </x:row>
    <x:row r="2">
      <x:c r="A2" t="str">
        <x:v>Residential GPR</x:v>
      </x:c>
      <x:c r="B2" s="12" t="n">
        <x:f>620*3850*12</x:f>
        <x:v>28644000</x:v>
      </x:c>
    </x:row>
    <x:row r="3">
      <x:c r="A3" t="str">
        <x:v>Retail GPR</x:v>
      </x:c>
      <x:c r="B3" s="12" t="n">
        <x:f>36000*68</x:f>
        <x:v>2448000</x:v>
      </x:c>
    </x:row>
    <x:row r="4">
      <x:c r="A4" t="str">
        <x:v>Office GPR</x:v>
      </x:c>
      <x:c r="B4" s="12" t="n">
        <x:f>120000*55</x:f>
        <x:v>6600000</x:v>
      </x:c>
    </x:row>
    <x:row r="5">
      <x:c r="A5" t="str">
        <x:v>Other Income</x:v>
      </x:c>
      <x:c r="B5" s="12" t="n">
        <x:v>1900000</x:v>
      </x:c>
    </x:row>
    <x:row r="6">
      <x:c r="A6" t="str">
        <x:v>Rent EGI</x:v>
      </x:c>
      <x:c r="B6" s="12" t="n">
        <x:f>620*3850*12*95%+36000*68*92%+120000*55*90%</x:f>
        <x:v>35403960</x:v>
      </x:c>
    </x:row>
    <x:row r="7">
      <x:c r="A7" t="str">
        <x:v>Total EGI incl. Other Income</x:v>
      </x:c>
      <x:c r="B7" s="12" t="n">
        <x:f>B6+B5</x:f>
        <x:v>37303960</x:v>
      </x:c>
    </x:row>
  </x:sheetData>
  <x:pageMargins left="0.7" right="0.7" top="0.75" bottom="0.75" header="0.3" footer="0.3"/>
</x:worksheet>
</file>